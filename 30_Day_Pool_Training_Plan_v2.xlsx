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b02d62f66f4754" /></Relationships>
</file>

<file path=xl/workbook.xml><?xml version="1.0" encoding="utf-8"?>
<x:workbook xmlns:x="http://schemas.openxmlformats.org/spreadsheetml/2006/main">
  <x:sheets>
    <x:sheet xmlns:r="http://schemas.openxmlformats.org/officeDocument/2006/relationships" name="Training Plan" sheetId="1" r:id="Ra4bacc6256684de5"/>
    <x:sheet xmlns:r="http://schemas.openxmlformats.org/officeDocument/2006/relationships" name="Standard Test" sheetId="2" r:id="R9a8947a7391a4e02"/>
    <x:sheet xmlns:r="http://schemas.openxmlformats.org/officeDocument/2006/relationships" name="30-Day Log" sheetId="3" r:id="R13630a5b92cc4780"/>
    <x:sheet xmlns:r="http://schemas.openxmlformats.org/officeDocument/2006/relationships" name="Drill Reference" sheetId="4" r:id="Ra9634be5afc7448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1"/>
      <x:color rgb="FF234E52"/>
      <x:name val="Carlito"/>
    </x:font>
    <x:font>
      <x:b/>
      <x:sz val="11"/>
      <x:color rgb="FFFFFFFF"/>
      <x:name val="Carlito"/>
    </x:font>
    <x:font>
      <x:sz val="11"/>
      <x:color rgb="FF7C2D12"/>
      <x:name val="Carlito"/>
    </x:font>
  </x:fonts>
  <x:fills count="7">
    <x:fill>
      <x:patternFill patternType="none"/>
    </x:fill>
    <x:fill>
      <x:patternFill patternType="gray125"/>
    </x:fill>
    <x:fill>
      <x:patternFill patternType="solid">
        <x:fgColor rgb="FF234E52"/>
      </x:patternFill>
    </x:fill>
    <x:fill>
      <x:patternFill patternType="solid">
        <x:fgColor rgb="FFE6FFFA"/>
      </x:patternFill>
    </x:fill>
    <x:fill>
      <x:patternFill patternType="solid">
        <x:fgColor rgb="FF285E61"/>
      </x:patternFill>
    </x:fill>
    <x:fill>
      <x:patternFill patternType="solid">
        <x:fgColor rgb="FF2C7A7B"/>
      </x:patternFill>
    </x:fill>
    <x:fill>
      <x:patternFill patternType="solid">
        <x:fgColor rgb="FFFFF7ED"/>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4" fillId="6" borderId="0" xfId="0" applyNumberFormat="1" applyFont="1" applyFill="1" applyBorder="1" applyAlignment="1">
      <x:alignment vertical="top" wrapText="1"/>
    </x:xf>
    <x:xf numFmtId="0" fontId="3" fillId="5"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4" fillId="6" borderId="1" xfId="0" applyNumberFormat="1" applyFont="1" applyFill="1" applyBorder="1" applyAlignment="1">
      <x:alignment vertical="top"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9751b315554059" /><Relationship Type="http://schemas.openxmlformats.org/officeDocument/2006/relationships/theme" Target="/xl/theme/theme1.xml" Id="R31ade589cb34425f" /><Relationship Type="http://schemas.openxmlformats.org/officeDocument/2006/relationships/sharedStrings" Target="/xl/sharedStrings.xml" Id="R9da4bf64bf9d40e8" /><Relationship Type="http://schemas.openxmlformats.org/officeDocument/2006/relationships/worksheet" Target="/xl/worksheets/sheet1.xml" Id="Ra4bacc6256684de5" /><Relationship Type="http://schemas.openxmlformats.org/officeDocument/2006/relationships/worksheet" Target="/xl/worksheets/sheet2.xml" Id="R9a8947a7391a4e02" /><Relationship Type="http://schemas.openxmlformats.org/officeDocument/2006/relationships/worksheet" Target="/xl/worksheets/sheet3.xml" Id="R13630a5b92cc4780" /><Relationship Type="http://schemas.openxmlformats.org/officeDocument/2006/relationships/worksheet" Target="/xl/worksheets/sheet4.xml" Id="Ra9634be5afc7448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3568722dcc498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Standardized Test Progress</a:t>
            </a:r>
          </a:p>
        </c:rich>
      </c:tx>
    </c:title>
    <c:plotArea>
      <c:lineChart>
        <c:grouping val="standard"/>
        <c:ser>
          <c:idx val="0"/>
          <c:order val="0"/>
          <c:tx>
            <c:v>Date</c:v>
          </c:tx>
          <c:marker>
            <c:symbol val="none"/>
          </c:marker>
          <c:cat>
            <c:strRef>
              <c:f>'30-Day Log'!$A$5:$A$34</c:f>
              <c:strCache>
                <c:ptCount val="0"/>
              </c:strCache>
            </c:strRef>
          </c:cat>
          <c:val>
            <c:numRef>
              <c:f>'30-Day Log'!$B$5:$B$34</c:f>
              <c:numCache>
                <c:formatCode>General</c:formatCode>
                <c:ptCount val="0"/>
              </c:numCache>
            </c:numRef>
          </c:val>
        </c:ser>
        <c:ser>
          <c:idx val="1"/>
          <c:order val="1"/>
          <c:tx>
            <c:v>AM Training
(min)</c:v>
          </c:tx>
          <c:marker>
            <c:symbol val="none"/>
          </c:marker>
          <c:cat>
            <c:strRef>
              <c:f>'30-Day Log'!$A$5:$A$34</c:f>
              <c:strCache>
                <c:ptCount val="0"/>
              </c:strCache>
            </c:strRef>
          </c:cat>
          <c:val>
            <c:numRef>
              <c:f>'30-Day Log'!$C$5:$C$34</c:f>
              <c:numCache>
                <c:formatCode>General</c:formatCode>
                <c:ptCount val="0"/>
              </c:numCache>
            </c:numRef>
          </c:val>
        </c:ser>
        <c:ser>
          <c:idx val="2"/>
          <c:order val="2"/>
          <c:tx>
            <c:v>PM Training
(min)</c:v>
          </c:tx>
          <c:marker>
            <c:symbol val="none"/>
          </c:marker>
          <c:cat>
            <c:strRef>
              <c:f>'30-Day Log'!$A$5:$A$34</c:f>
              <c:strCache>
                <c:ptCount val="0"/>
              </c:strCache>
            </c:strRef>
          </c:cat>
          <c:val>
            <c:numRef>
              <c:f>'30-Day Log'!$D$5:$D$34</c:f>
              <c:numCache>
                <c:formatCode>General</c:formatCode>
                <c:ptCount val="0"/>
              </c:numCache>
            </c:numRef>
          </c:val>
        </c:ser>
        <c:ser>
          <c:idx val="3"/>
          <c:order val="3"/>
          <c:tx>
            <c:v>Approx. Shots
(optional)</c:v>
          </c:tx>
          <c:marker>
            <c:symbol val="none"/>
          </c:marker>
          <c:cat>
            <c:strRef>
              <c:f>'30-Day Log'!$A$5:$A$34</c:f>
              <c:strCache>
                <c:ptCount val="0"/>
              </c:strCache>
            </c:strRef>
          </c:cat>
          <c:val>
            <c:numRef>
              <c:f>'30-Day Log'!$E$5:$E$34</c:f>
              <c:numCache>
                <c:formatCode>General</c:formatCode>
                <c:ptCount val="0"/>
              </c:numCache>
            </c:numRef>
          </c:val>
        </c:ser>
        <c:ser>
          <c:idx val="4"/>
          <c:order val="4"/>
          <c:tx>
            <c:v>Straight Test
/10</c:v>
          </c:tx>
          <c:marker>
            <c:symbol val="none"/>
          </c:marker>
          <c:cat>
            <c:strRef>
              <c:f>'30-Day Log'!$A$5:$A$34</c:f>
              <c:strCache>
                <c:ptCount val="0"/>
              </c:strCache>
            </c:strRef>
          </c:cat>
          <c:val>
            <c:numRef>
              <c:f>'30-Day Log'!$F$5:$F$34</c:f>
              <c:numCache>
                <c:formatCode>General</c:formatCode>
                <c:ptCount val="0"/>
              </c:numCache>
            </c:numRef>
          </c:val>
        </c:ser>
        <c:ser>
          <c:idx val="5"/>
          <c:order val="5"/>
          <c:tx>
            <c:v>Cut Test
/20</c:v>
          </c:tx>
          <c:marker>
            <c:symbol val="none"/>
          </c:marker>
          <c:cat>
            <c:strRef>
              <c:f>'30-Day Log'!$A$5:$A$34</c:f>
              <c:strCache>
                <c:ptCount val="0"/>
              </c:strCache>
            </c:strRef>
          </c:cat>
          <c:val>
            <c:numRef>
              <c:f>'30-Day Log'!$G$5:$G$34</c:f>
              <c:numCache>
                <c:formatCode>General</c:formatCode>
                <c:ptCount val="0"/>
              </c:numCache>
            </c:numRef>
          </c:val>
        </c:ser>
        <c:ser>
          <c:idx val="6"/>
          <c:order val="6"/>
          <c:tx>
            <c:v>Stop Test
/10</c:v>
          </c:tx>
          <c:marker>
            <c:symbol val="none"/>
          </c:marker>
          <c:cat>
            <c:strRef>
              <c:f>'30-Day Log'!$A$5:$A$34</c:f>
              <c:strCache>
                <c:ptCount val="0"/>
              </c:strCache>
            </c:strRef>
          </c:cat>
          <c:val>
            <c:numRef>
              <c:f>'30-Day Log'!$H$5:$H$34</c:f>
              <c:numCache>
                <c:formatCode>General</c:formatCode>
                <c:ptCount val="0"/>
              </c:numCache>
            </c:numRef>
          </c:val>
        </c:ser>
        <c:ser>
          <c:idx val="7"/>
          <c:order val="7"/>
          <c:tx>
            <c:v>Draw @24"
Avg in</c:v>
          </c:tx>
          <c:marker>
            <c:symbol val="none"/>
          </c:marker>
          <c:cat>
            <c:strRef>
              <c:f>'30-Day Log'!$A$5:$A$34</c:f>
              <c:strCache>
                <c:ptCount val="0"/>
              </c:strCache>
            </c:strRef>
          </c:cat>
          <c:val>
            <c:numRef>
              <c:f>'30-Day Log'!$I$5:$I$34</c:f>
              <c:numCache>
                <c:formatCode>General</c:formatCode>
                <c:ptCount val="0"/>
              </c:numCache>
            </c:numRef>
          </c:val>
        </c:ser>
        <c:ser>
          <c:idx val="8"/>
          <c:order val="8"/>
          <c:tx>
            <c:v>5-Ball Clear
/5</c:v>
          </c:tx>
          <c:marker>
            <c:symbol val="none"/>
          </c:marker>
          <c:cat>
            <c:strRef>
              <c:f>'30-Day Log'!$A$5:$A$34</c:f>
              <c:strCache>
                <c:ptCount val="0"/>
              </c:strCache>
            </c:strRef>
          </c:cat>
          <c:val>
            <c:numRef>
              <c:f>'30-Day Log'!$J$5:$J$34</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45</xdr:row>
      <xdr:rowOff>0</xdr:rowOff>
    </xdr:from>
    <xdr:to>
      <xdr:col>14</xdr:col>
      <xdr:colOff>0</xdr:colOff>
      <xdr:row>64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3568722dcc498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40f1de9974754c18" /></Relationships>
</file>

<file path=xl/worksheets/sheet1.xml><?xml version="1.0" encoding="utf-8"?>
<x:worksheet xmlns:x="http://schemas.openxmlformats.org/spreadsheetml/2006/main">
  <x:sheetFormatPr defaultRowHeight="15"/>
  <x:cols>
    <x:col min="1" max="1" width="11" hidden="0" customWidth="1"/>
    <x:col min="2" max="2" width="20" hidden="0" customWidth="1"/>
    <x:col min="3" max="3" width="31" hidden="0" customWidth="1"/>
    <x:col min="4" max="4" width="19" hidden="0" customWidth="1"/>
    <x:col min="5" max="5" width="43" hidden="0" customWidth="1"/>
    <x:col min="6" max="6" width="34" hidden="0" customWidth="1"/>
    <x:col min="7" max="7" width="20" hidden="0" customWidth="1"/>
    <x:col min="8" max="8" width="27" hidden="0" customWidth="1"/>
  </x:cols>
  <x:sheetData>
    <x:row r="1">
      <x:c r="A1" s="5" t="str">
        <x:v>Daily 2-Hour Pool Training Plan</x:v>
      </x:c>
      <x:c r="B1" s="5"/>
      <x:c r="C1" s="5"/>
      <x:c r="D1" s="5"/>
      <x:c r="E1" s="5"/>
      <x:c r="F1" s="5"/>
      <x:c r="G1" s="5"/>
      <x:c r="H1" s="5"/>
    </x:row>
    <x:row r="2">
      <x:c r="A2" s="13" t="str">
        <x:v>Training volume is intentionally much larger than the daily test. The test is only a short benchmark; most of the 2 hours should be repetition, correction, and pattern play.</x:v>
      </x:c>
      <x:c r="B2" s="13"/>
      <x:c r="C2" s="13"/>
      <x:c r="D2" s="13"/>
      <x:c r="E2" s="13"/>
      <x:c r="F2" s="13"/>
      <x:c r="G2" s="13"/>
      <x:c r="H2" s="13"/>
    </x:row>
    <x:row r="4">
      <x:c r="A4" s="21" t="str">
        <x:v>Morning — 60 min: Fundamentals, Accuracy &amp; Cue-Ball Technique</x:v>
      </x:c>
      <x:c r="B4" s="21"/>
      <x:c r="C4" s="21"/>
      <x:c r="D4" s="21"/>
      <x:c r="E4" s="21"/>
      <x:c r="F4" s="21"/>
      <x:c r="G4" s="21"/>
      <x:c r="H4" s="21"/>
    </x:row>
    <x:row r="5">
      <x:c r="A5" s="48" t="str">
        <x:v>Time</x:v>
      </x:c>
      <x:c r="B5" s="48" t="str">
        <x:v>Drill</x:v>
      </x:c>
      <x:c r="C5" s="48" t="str">
        <x:v>Setup</x:v>
      </x:c>
      <x:c r="D5" s="48" t="str">
        <x:v>Training Volume</x:v>
      </x:c>
      <x:c r="E5" s="48" t="str">
        <x:v>How to Train</x:v>
      </x:c>
      <x:c r="F5" s="48" t="str">
        <x:v>Success Standard</x:v>
      </x:c>
      <x:c r="G5" s="48" t="str">
        <x:v>Record?</x:v>
      </x:c>
      <x:c r="H5" s="48" t="str">
        <x:v>Purpose</x:v>
      </x:c>
    </x:row>
    <x:row r="6">
      <x:c r="A6" s="49" t="str">
        <x:v>0–10 min</x:v>
      </x:c>
      <x:c r="B6" s="49" t="str">
        <x:v>Straight-ball warm-up</x:v>
      </x:c>
      <x:c r="C6" s="49" t="str">
        <x:v>Object ball straight to corner. Start CB 1 ft away; gradually move to 2, 3, then 4 ft.</x:v>
      </x:c>
      <x:c r="D6" s="49" t="str">
        <x:v>30–40 shots</x:v>
      </x:c>
      <x:c r="E6" s="49" t="str">
        <x:v>Do sets of 5. After every miss, identify: aim, stroke, or contact point. Do not rush to the next ball.</x:v>
      </x:c>
      <x:c r="F6" s="49" t="str">
        <x:v>Clean center-pocket hit; CB stays close to the original line.</x:v>
      </x:c>
      <x:c r="G6" s="49" t="str">
        <x:v>No — training only</x:v>
      </x:c>
      <x:c r="H6" s="49" t="str">
        <x:v>Stroke alignment and delivery</x:v>
      </x:c>
    </x:row>
    <x:row r="7">
      <x:c r="A7" s="49" t="str">
        <x:v>10–22 min</x:v>
      </x:c>
      <x:c r="B7" s="49" t="str">
        <x:v>Stop shot ladder</x:v>
      </x:c>
      <x:c r="C7" s="49" t="str">
        <x:v>Straight shot. CB-to-OB distances: 12", 24", 36".</x:v>
      </x:c>
      <x:c r="D7" s="49" t="str">
        <x:v>30 shots total (10 at each distance)</x:v>
      </x:c>
      <x:c r="E7" s="49" t="str">
        <x:v>Use center-ball contact first. Adjust speed, not just tip position. Hold finish and watch CB.</x:v>
      </x:c>
      <x:c r="F7" s="49" t="str">
        <x:v>CB stops within about 3" of contact point.</x:v>
      </x:c>
      <x:c r="G7" s="49" t="str">
        <x:v>Optional</x:v>
      </x:c>
      <x:c r="H7" s="49" t="str">
        <x:v>Center-ball control and speed</x:v>
      </x:c>
    </x:row>
    <x:row r="8">
      <x:c r="A8" s="49" t="str">
        <x:v>22–38 min</x:v>
      </x:c>
      <x:c r="B8" s="49" t="str">
        <x:v>Draw ladder</x:v>
      </x:c>
      <x:c r="C8" s="49" t="str">
        <x:v>Straight shot. CB-to-OB: 8", 16", 24". Use the 6-dot cue ball when possible.</x:v>
      </x:c>
      <x:c r="D8" s="49" t="str">
        <x:v>36–45 shots</x:v>
      </x:c>
      <x:c r="E8" s="49" t="str">
        <x:v>At each distance, first draw back 6", then 12", then farther. Favor a level cue and smooth acceleration over extra force.</x:v>
      </x:c>
      <x:c r="F8" s="49" t="str">
        <x:v>Pocket OB and pull CB back along the shot line with controlled distance.</x:v>
      </x:c>
      <x:c r="G8" s="49" t="str">
        <x:v>Yes — note best/typical draw</x:v>
      </x:c>
      <x:c r="H8" s="49" t="str">
        <x:v>Backspin production and retention</x:v>
      </x:c>
    </x:row>
    <x:row r="9">
      <x:c r="A9" s="49" t="str">
        <x:v>38–50 min</x:v>
      </x:c>
      <x:c r="B9" s="49" t="str">
        <x:v>Follow ladder</x:v>
      </x:c>
      <x:c r="C9" s="49" t="str">
        <x:v>Same straight setup. CB-to-OB: 12", 24", 36".</x:v>
      </x:c>
      <x:c r="D9" s="49" t="str">
        <x:v>30 shots total</x:v>
      </x:c>
      <x:c r="E9" s="49" t="str">
        <x:v>Choose a target follow distance before each shot (6", 12", 24"). Avoid simply rolling the ball harder.</x:v>
      </x:c>
      <x:c r="F9" s="49" t="str">
        <x:v>CB follows on the intended line and finishes near the chosen distance.</x:v>
      </x:c>
      <x:c r="G9" s="49" t="str">
        <x:v>Optional</x:v>
      </x:c>
      <x:c r="H9" s="49" t="str">
        <x:v>Topspin and speed control</x:v>
      </x:c>
    </x:row>
    <x:row r="10">
      <x:c r="A10" s="49" t="str">
        <x:v>50–60 min</x:v>
      </x:c>
      <x:c r="B10" s="49" t="str">
        <x:v>Precision pocket drill</x:v>
      </x:c>
      <x:c r="C10" s="49" t="str">
        <x:v>Long straight and slight-cut shots. Use pocket reducer for this block only if desired.</x:v>
      </x:c>
      <x:c r="D10" s="49" t="str">
        <x:v>20–30 shots</x:v>
      </x:c>
      <x:c r="E10" s="49" t="str">
        <x:v>Alternate left/right corner pockets. Count a rattled or jawed ball as a miss even if it falls on the normal pocket.</x:v>
      </x:c>
      <x:c r="F10" s="49" t="str">
        <x:v>Center-pocket contact and stable mechanics.</x:v>
      </x:c>
      <x:c r="G10" s="49" t="str">
        <x:v>No — unless doing weekly test</x:v>
      </x:c>
      <x:c r="H10" s="49" t="str">
        <x:v>Accuracy; keeps some Chinese-8-ball style discipline</x:v>
      </x:c>
    </x:row>
    <x:row r="11">
      <x:c r="A11" s="49"/>
      <x:c r="B11" s="49"/>
      <x:c r="C11" s="49"/>
      <x:c r="D11" s="49"/>
      <x:c r="E11" s="49"/>
      <x:c r="F11" s="49"/>
      <x:c r="G11" s="49"/>
      <x:c r="H11" s="49"/>
    </x:row>
    <x:row r="12">
      <x:c r="A12" s="50" t="str">
        <x:v>Afternoon — 60 min: Cut Shots, Position, Patterns &amp; APA Play</x:v>
      </x:c>
      <x:c r="B12" s="50"/>
      <x:c r="C12" s="50"/>
      <x:c r="D12" s="50"/>
      <x:c r="E12" s="50"/>
      <x:c r="F12" s="50"/>
      <x:c r="G12" s="50"/>
      <x:c r="H12" s="50"/>
    </x:row>
    <x:row r="13">
      <x:c r="A13" s="48" t="str">
        <x:v>Time</x:v>
      </x:c>
      <x:c r="B13" s="48" t="str">
        <x:v>Drill</x:v>
      </x:c>
      <x:c r="C13" s="48" t="str">
        <x:v>Setup</x:v>
      </x:c>
      <x:c r="D13" s="48" t="str">
        <x:v>Training Volume</x:v>
      </x:c>
      <x:c r="E13" s="48" t="str">
        <x:v>How to Train</x:v>
      </x:c>
      <x:c r="F13" s="48" t="str">
        <x:v>Success Standard</x:v>
      </x:c>
      <x:c r="G13" s="48" t="str">
        <x:v>Record?</x:v>
      </x:c>
      <x:c r="H13" s="48" t="str">
        <x:v>Purpose</x:v>
      </x:c>
    </x:row>
    <x:row r="14">
      <x:c r="A14" s="49" t="str">
        <x:v>0–12 min</x:v>
      </x:c>
      <x:c r="B14" s="49" t="str">
        <x:v>Cut-shot blocks</x:v>
      </x:c>
      <x:c r="C14" s="49" t="str">
        <x:v>Choose 3 repeatable cut angles (roughly 30°, 45°, 60°), both directions.</x:v>
      </x:c>
      <x:c r="D14" s="49" t="str">
        <x:v>36 shots total (6 per angle/direction)</x:v>
      </x:c>
      <x:c r="E14" s="49" t="str">
        <x:v>Keep OB and pocket fixed for each mini-set. First establish pocketing line, then add CB finish awareness.</x:v>
      </x:c>
      <x:c r="F14" s="49" t="str">
        <x:v>Consistent pocketing on both left and right cuts.</x:v>
      </x:c>
      <x:c r="G14" s="49" t="str">
        <x:v>No — training only</x:v>
      </x:c>
      <x:c r="H14" s="49" t="str">
        <x:v>Build visual library for common cuts</x:v>
      </x:c>
    </x:row>
    <x:row r="15">
      <x:c r="A15" s="49" t="str">
        <x:v>12–27 min</x:v>
      </x:c>
      <x:c r="B15" s="49" t="str">
        <x:v>One-rail position zones</x:v>
      </x:c>
      <x:c r="C15" s="49" t="str">
        <x:v>Pocket one object ball and send CB to a marked 12–18" target zone for the next shot.</x:v>
      </x:c>
      <x:c r="D15" s="49" t="str">
        <x:v>25–30 shots</x:v>
      </x:c>
      <x:c r="E15" s="49" t="str">
        <x:v>Change only one variable at a time: speed, follow/draw, or a touch of side. Predict the route before shooting.</x:v>
      </x:c>
      <x:c r="F15" s="49" t="str">
        <x:v>CB enters the target zone, not merely 'somewhere usable'.</x:v>
      </x:c>
      <x:c r="G15" s="49" t="str">
        <x:v>Optional</x:v>
      </x:c>
      <x:c r="H15" s="49" t="str">
        <x:v>APA cue-ball control</x:v>
      </x:c>
    </x:row>
    <x:row r="16">
      <x:c r="A16" s="49" t="str">
        <x:v>27–42 min</x:v>
      </x:c>
      <x:c r="B16" s="49" t="str">
        <x:v>3-ball pattern drill</x:v>
      </x:c>
      <x:c r="C16" s="49" t="str">
        <x:v>Random but makeable 3-ball layouts; ball-in-hand on the first shot.</x:v>
      </x:c>
      <x:c r="D16" s="49" t="str">
        <x:v>8–10 complete layouts</x:v>
      </x:c>
      <x:c r="E16" s="49" t="str">
        <x:v>Before shooting, name all 3 shots and the intended CB zones. Restart a layout after a major positional error.</x:v>
      </x:c>
      <x:c r="F16" s="49" t="str">
        <x:v>Run all 3 without a positional rescue shot.</x:v>
      </x:c>
      <x:c r="G16" s="49" t="str">
        <x:v>Yes — successful runs</x:v>
      </x:c>
      <x:c r="H16" s="49" t="str">
        <x:v>Pattern recognition and planning</x:v>
      </x:c>
    </x:row>
    <x:row r="17">
      <x:c r="A17" s="49" t="str">
        <x:v>42–55 min</x:v>
      </x:c>
      <x:c r="B17" s="49" t="str">
        <x:v>5-ball clearance</x:v>
      </x:c>
      <x:c r="C17" s="49" t="str">
        <x:v>Scatter 5 open balls; ball-in-hand to begin.</x:v>
      </x:c>
      <x:c r="D17" s="49" t="str">
        <x:v>4–6 complete attempts</x:v>
      </x:c>
      <x:c r="E17" s="49" t="str">
        <x:v>Pick the easiest route, minimize CB travel, and avoid unnecessary side spin. Log why a failed run ended.</x:v>
      </x:c>
      <x:c r="F17" s="49" t="str">
        <x:v>Clear all 5 without a miss or positional breakdown.</x:v>
      </x:c>
      <x:c r="G17" s="49" t="str">
        <x:v>Yes — success/attempts</x:v>
      </x:c>
      <x:c r="H17" s="49" t="str">
        <x:v>Bridges drills to real APA run-outs</x:v>
      </x:c>
    </x:row>
    <x:row r="18">
      <x:c r="A18" s="49" t="str">
        <x:v>55–60 min</x:v>
      </x:c>
      <x:c r="B18" s="49" t="str">
        <x:v>Short review / replay</x:v>
      </x:c>
      <x:c r="C18" s="49" t="str">
        <x:v>Recreate the 2–3 worst shots or decisions from the session.</x:v>
      </x:c>
      <x:c r="D18" s="49" t="str">
        <x:v>5–10 focused shots</x:v>
      </x:c>
      <x:c r="E18" s="49" t="str">
        <x:v>Do not finish on random free play. Re-shoot the exact problem until you understand the correction.</x:v>
      </x:c>
      <x:c r="F18" s="49" t="str">
        <x:v>Know what caused the miss and what changes fix it.</x:v>
      </x:c>
      <x:c r="G18" s="49" t="str">
        <x:v>Notes only</x:v>
      </x:c>
      <x:c r="H18" s="49" t="str">
        <x:v>Turns mistakes into learning</x:v>
      </x:c>
    </x:row>
    <x:row r="19">
      <x:c r="A19" s="49"/>
      <x:c r="B19" s="49"/>
      <x:c r="C19" s="49"/>
      <x:c r="D19" s="49"/>
      <x:c r="E19" s="49"/>
      <x:c r="F19" s="49"/>
      <x:c r="G19" s="49"/>
      <x:c r="H19" s="49"/>
    </x:row>
    <x:row r="20">
      <x:c r="A20" s="50" t="str">
        <x:v>Important: Training vs. Testing</x:v>
      </x:c>
      <x:c r="B20" s="50"/>
      <x:c r="C20" s="50"/>
      <x:c r="D20" s="50"/>
      <x:c r="E20" s="50"/>
      <x:c r="F20" s="50"/>
      <x:c r="G20" s="50"/>
      <x:c r="H20" s="50"/>
    </x:row>
    <x:row r="21">
      <x:c r="A21" s="51" t="str">
        <x:v>TRAINING = high volume and feedback. You may hit 150–200+ shots across the two daily sessions, repeat misses, adjust technique, and practice patterns.
TESTING = short, standardized, no coaching during the set. The 10-shot / 20-shot numbers are benchmarks, not your total training volume. Run the full test 2–3 times per week (or once weekly if you prefer), under the same setup.
For your GoSports table: use the normal ~4.8" pocket for APA-oriented testing. Use the reducer only as a separate precision drill; do not mix reducer scores with normal-pocket scores.</x:v>
      </x:c>
      <x:c r="B21" s="51"/>
      <x:c r="C21" s="51"/>
      <x:c r="D21" s="51"/>
      <x:c r="E21" s="51"/>
      <x:c r="F21" s="51"/>
      <x:c r="G21" s="51"/>
      <x:c r="H21" s="51"/>
    </x:row>
    <x:row r="22">
      <x:c r="A22" s="51"/>
      <x:c r="B22" s="51"/>
      <x:c r="C22" s="51"/>
      <x:c r="D22" s="51"/>
      <x:c r="E22" s="51"/>
      <x:c r="F22" s="51"/>
      <x:c r="G22" s="51"/>
      <x:c r="H22" s="51"/>
    </x:row>
    <x:row r="23">
      <x:c r="A23" s="51"/>
      <x:c r="B23" s="51"/>
      <x:c r="C23" s="51"/>
      <x:c r="D23" s="51"/>
      <x:c r="E23" s="51"/>
      <x:c r="F23" s="51"/>
      <x:c r="G23" s="51"/>
      <x:c r="H23" s="51"/>
    </x:row>
    <x:row r="24">
      <x:c r="A24" s="51"/>
      <x:c r="B24" s="51"/>
      <x:c r="C24" s="51"/>
      <x:c r="D24" s="51"/>
      <x:c r="E24" s="51"/>
      <x:c r="F24" s="51"/>
      <x:c r="G24" s="51"/>
      <x:c r="H24" s="51"/>
    </x:row>
  </x:sheetData>
  <x:mergeCells>
    <x:mergeCell ref="A1:H1"/>
    <x:mergeCell ref="A2:H2"/>
    <x:mergeCell ref="A4:H4"/>
    <x:mergeCell ref="A12:H12"/>
    <x:mergeCell ref="A20:H20"/>
    <x:mergeCell ref="A21:H24"/>
  </x:mergeCells>
  <x:pageMargins left="0.7" right="0.7" top="0.75" bottom="0.75" header="0.3" footer="0.3"/>
</x:worksheet>
</file>

<file path=xl/worksheets/sheet2.xml><?xml version="1.0" encoding="utf-8"?>
<x:worksheet xmlns:x="http://schemas.openxmlformats.org/spreadsheetml/2006/main">
  <x:sheetFormatPr defaultRowHeight="15"/>
  <x:cols>
    <x:col min="1" max="1" width="21" hidden="0" customWidth="1"/>
    <x:col min="2" max="2" width="42" hidden="0" customWidth="1"/>
    <x:col min="3" max="3" width="12" hidden="0" customWidth="1"/>
    <x:col min="4" max="4" width="35" hidden="0" customWidth="1"/>
    <x:col min="5" max="5" width="29" hidden="0" customWidth="1"/>
    <x:col min="6" max="6" width="19" hidden="0" customWidth="1"/>
    <x:col min="7" max="7" width="30" hidden="0" customWidth="1"/>
  </x:cols>
  <x:sheetData>
    <x:row r="1">
      <x:c r="A1" s="5" t="str">
        <x:v>Standardized Skill Test — 20–25 minutes</x:v>
      </x:c>
      <x:c r="B1" s="5"/>
      <x:c r="C1" s="5"/>
      <x:c r="D1" s="5"/>
      <x:c r="E1" s="5"/>
      <x:c r="F1" s="5"/>
      <x:c r="G1" s="5"/>
    </x:row>
    <x:row r="2">
      <x:c r="A2" s="13" t="str">
        <x:v>Use the same ball positions, normal pockets, same cue ball, and similar table conditions each time. Do not add extra attempts to the score.</x:v>
      </x:c>
      <x:c r="B2" s="13"/>
      <x:c r="C2" s="13"/>
      <x:c r="D2" s="13"/>
      <x:c r="E2" s="13"/>
      <x:c r="F2" s="13"/>
      <x:c r="G2" s="13"/>
    </x:row>
    <x:row r="4">
      <x:c r="A4" s="48" t="str">
        <x:v>Test</x:v>
      </x:c>
      <x:c r="B4" s="48" t="str">
        <x:v>Exact Setup</x:v>
      </x:c>
      <x:c r="C4" s="48" t="str">
        <x:v>Attempts</x:v>
      </x:c>
      <x:c r="D4" s="48" t="str">
        <x:v>Scoring</x:v>
      </x:c>
      <x:c r="E4" s="48" t="str">
        <x:v>What It Measures</x:v>
      </x:c>
      <x:c r="F4" s="48" t="str">
        <x:v>Suggested Frequency</x:v>
      </x:c>
      <x:c r="G4" s="48" t="str">
        <x:v>Notes</x:v>
      </x:c>
    </x:row>
    <x:row r="5">
      <x:c r="A5" s="49" t="str">
        <x:v>Long straight pot</x:v>
      </x:c>
      <x:c r="B5" s="49" t="str">
        <x:v>OB about 12–18" from corner pocket; CB 4 ft from OB, perfectly straight.</x:v>
      </x:c>
      <x:c r="C5" s="49" t="str">
        <x:v>10</x:v>
      </x:c>
      <x:c r="D5" s="49" t="str">
        <x:v>1 point per made ball. Record X/10.</x:v>
      </x:c>
      <x:c r="E5" s="49" t="str">
        <x:v>Aim + stroke alignment</x:v>
      </x:c>
      <x:c r="F5" s="49" t="str">
        <x:v>2–3×/week</x:v>
      </x:c>
      <x:c r="G5" s="49" t="str">
        <x:v>Keep the same pocket and distances.</x:v>
      </x:c>
    </x:row>
    <x:row r="6">
      <x:c r="A6" s="49" t="str">
        <x:v>Cut shots</x:v>
      </x:c>
      <x:c r="B6" s="49" t="str">
        <x:v>Use one fixed medium cut angle. 10 shots cutting left, 10 cutting right.</x:v>
      </x:c>
      <x:c r="C6" s="49" t="str">
        <x:v>20</x:v>
      </x:c>
      <x:c r="D6" s="49" t="str">
        <x:v>1 point per made ball. Record X/20.</x:v>
      </x:c>
      <x:c r="E6" s="49" t="str">
        <x:v>Cut-angle recognition and symmetry</x:v>
      </x:c>
      <x:c r="F6" s="49" t="str">
        <x:v>2×/week</x:v>
      </x:c>
      <x:c r="G6" s="49" t="str">
        <x:v>Do not change angle after misses.</x:v>
      </x:c>
    </x:row>
    <x:row r="7">
      <x:c r="A7" s="49" t="str">
        <x:v>Stop shot</x:v>
      </x:c>
      <x:c r="B7" s="49" t="str">
        <x:v>Straight shot, CB 24" from OB.</x:v>
      </x:c>
      <x:c r="C7" s="49" t="str">
        <x:v>10</x:v>
      </x:c>
      <x:c r="D7" s="49" t="str">
        <x:v>Success if OB is made and CB stops within ~3" of contact point. X/10.</x:v>
      </x:c>
      <x:c r="E7" s="49" t="str">
        <x:v>Center-ball control</x:v>
      </x:c>
      <x:c r="F7" s="49" t="str">
        <x:v>2×/week</x:v>
      </x:c>
      <x:c r="G7" s="49" t="str">
        <x:v>Use same speed target each test.</x:v>
      </x:c>
    </x:row>
    <x:row r="8">
      <x:c r="A8" s="49" t="str">
        <x:v>Draw test</x:v>
      </x:c>
      <x:c r="B8" s="49" t="str">
        <x:v>Straight shot, CB 24" from OB; OB near enough to pocket reliably.</x:v>
      </x:c>
      <x:c r="C8" s="49" t="str">
        <x:v>5</x:v>
      </x:c>
      <x:c r="D8" s="49" t="str">
        <x:v>Record each draw-back distance; enter the average in inches.</x:v>
      </x:c>
      <x:c r="E8" s="49" t="str">
        <x:v>Backspin + cloth-adjusted technique</x:v>
      </x:c>
      <x:c r="F8" s="49" t="str">
        <x:v>2×/week</x:v>
      </x:c>
      <x:c r="G8" s="49" t="str">
        <x:v>Use the same cue ball every test.</x:v>
      </x:c>
    </x:row>
    <x:row r="9">
      <x:c r="A9" s="49" t="str">
        <x:v>5-ball clearance</x:v>
      </x:c>
      <x:c r="B9" s="49" t="str">
        <x:v>Use the same 5-ball template/layout if possible; ball-in-hand to start.</x:v>
      </x:c>
      <x:c r="C9" s="49" t="str">
        <x:v>5 runs</x:v>
      </x:c>
      <x:c r="D9" s="49" t="str">
        <x:v>Record successful clears /5 and main cause of each failed run.</x:v>
      </x:c>
      <x:c r="E9" s="49" t="str">
        <x:v>Potting + position + decisions</x:v>
      </x:c>
      <x:c r="F9" s="49" t="str">
        <x:v>2×/week</x:v>
      </x:c>
      <x:c r="G9" s="49" t="str">
        <x:v>A fixed layout improves comparability.</x:v>
      </x:c>
    </x:row>
    <x:row r="10">
      <x:c r="A10" s="49"/>
      <x:c r="B10" s="49"/>
      <x:c r="C10" s="49"/>
      <x:c r="D10" s="49"/>
      <x:c r="E10" s="49"/>
      <x:c r="F10" s="49"/>
      <x:c r="G10" s="49"/>
    </x:row>
    <x:row r="11">
      <x:c r="A11" s="50" t="str">
        <x:v>Error Codes</x:v>
      </x:c>
      <x:c r="B11" s="50"/>
      <x:c r="C11" s="50"/>
      <x:c r="D11" s="50"/>
      <x:c r="E11" s="50"/>
      <x:c r="F11" s="50"/>
      <x:c r="G11" s="50"/>
    </x:row>
    <x:row r="12">
      <x:c r="A12" s="48" t="str">
        <x:v>Code</x:v>
      </x:c>
      <x:c r="B12" s="48" t="str">
        <x:v>Meaning</x:v>
      </x:c>
      <x:c r="C12" s="49"/>
      <x:c r="D12" s="49"/>
      <x:c r="E12" s="49"/>
      <x:c r="F12" s="49"/>
      <x:c r="G12" s="49"/>
    </x:row>
    <x:row r="13">
      <x:c r="A13" s="49" t="str">
        <x:v>P</x:v>
      </x:c>
      <x:c r="B13" s="49" t="str">
        <x:v>Potting / aiming error</x:v>
      </x:c>
      <x:c r="C13" s="49"/>
      <x:c r="D13" s="49"/>
      <x:c r="E13" s="49"/>
      <x:c r="F13" s="49"/>
      <x:c r="G13" s="49"/>
    </x:row>
    <x:row r="14">
      <x:c r="A14" s="49" t="str">
        <x:v>C</x:v>
      </x:c>
      <x:c r="B14" s="49" t="str">
        <x:v>Cue-ball position / route error</x:v>
      </x:c>
      <x:c r="C14" s="49"/>
      <x:c r="D14" s="49"/>
      <x:c r="E14" s="49"/>
      <x:c r="F14" s="49"/>
      <x:c r="G14" s="49"/>
    </x:row>
    <x:row r="15">
      <x:c r="A15" s="49" t="str">
        <x:v>S</x:v>
      </x:c>
      <x:c r="B15" s="49" t="str">
        <x:v>Spin or speed execution error</x:v>
      </x:c>
      <x:c r="C15" s="49"/>
      <x:c r="D15" s="49"/>
      <x:c r="E15" s="49"/>
      <x:c r="F15" s="49"/>
      <x:c r="G15" s="49"/>
    </x:row>
    <x:row r="16">
      <x:c r="A16" s="49" t="str">
        <x:v>D</x:v>
      </x:c>
      <x:c r="B16" s="49" t="str">
        <x:v>Decision / pattern-selection error</x:v>
      </x:c>
      <x:c r="C16" s="49"/>
      <x:c r="D16" s="49"/>
      <x:c r="E16" s="49"/>
      <x:c r="F16" s="49"/>
      <x:c r="G16" s="49"/>
    </x:row>
  </x:sheetData>
  <x:mergeCells>
    <x:mergeCell ref="A1:G1"/>
    <x:mergeCell ref="A2:G2"/>
    <x:mergeCell ref="A11:G11"/>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12" hidden="0" customWidth="1"/>
    <x:col min="3" max="3" width="13" hidden="0" customWidth="1"/>
    <x:col min="4" max="4" width="13" hidden="0" customWidth="1"/>
    <x:col min="5" max="5" width="15" hidden="0" customWidth="1"/>
    <x:col min="6" max="6" width="13" hidden="0" customWidth="1"/>
    <x:col min="7" max="7" width="12" hidden="0" customWidth="1"/>
    <x:col min="8" max="8" width="12" hidden="0" customWidth="1"/>
    <x:col min="9" max="9" width="13" hidden="0" customWidth="1"/>
    <x:col min="10" max="10" width="14" hidden="0" customWidth="1"/>
    <x:col min="11" max="11" width="10" hidden="0" customWidth="1"/>
    <x:col min="12" max="12" width="10" hidden="0" customWidth="1"/>
    <x:col min="13" max="13" width="10" hidden="0" customWidth="1"/>
    <x:col min="14" max="14" width="10" hidden="0" customWidth="1"/>
  </x:cols>
  <x:sheetData>
    <x:row r="1">
      <x:c r="A1" s="5" t="str">
        <x:v>30-Day Pool Training &amp; Test Log</x:v>
      </x:c>
      <x:c r="B1" s="5"/>
      <x:c r="C1" s="5"/>
      <x:c r="D1" s="5"/>
      <x:c r="E1" s="5"/>
      <x:c r="F1" s="5"/>
      <x:c r="G1" s="5"/>
      <x:c r="H1" s="5"/>
      <x:c r="I1" s="5"/>
      <x:c r="J1" s="5"/>
      <x:c r="K1" s="5"/>
      <x:c r="L1" s="5"/>
      <x:c r="M1" s="5"/>
      <x:c r="N1" s="5"/>
    </x:row>
    <x:row r="2">
      <x:c r="A2" s="13" t="str">
        <x:v>Daily training volume is logged separately from standardized test scores. You do NOT need to run the full test every day.</x:v>
      </x:c>
      <x:c r="B2" s="13"/>
      <x:c r="C2" s="13"/>
      <x:c r="D2" s="13"/>
      <x:c r="E2" s="13"/>
      <x:c r="F2" s="13"/>
      <x:c r="G2" s="13"/>
      <x:c r="H2" s="13"/>
      <x:c r="I2" s="13"/>
      <x:c r="J2" s="13"/>
      <x:c r="K2" s="13"/>
      <x:c r="L2" s="13"/>
      <x:c r="M2" s="13"/>
      <x:c r="N2" s="13"/>
    </x:row>
    <x:row r="4">
      <x:c r="A4" s="30" t="str">
        <x:v>Day</x:v>
      </x:c>
      <x:c r="B4" s="30" t="str">
        <x:v>Date</x:v>
      </x:c>
      <x:c r="C4" s="30" t="str">
        <x:v>AM Training
(min)</x:v>
      </x:c>
      <x:c r="D4" s="30" t="str">
        <x:v>PM Training
(min)</x:v>
      </x:c>
      <x:c r="E4" s="30" t="str">
        <x:v>Approx. Shots
(optional)</x:v>
      </x:c>
      <x:c r="F4" s="30" t="str">
        <x:v>Straight Test
/10</x:v>
      </x:c>
      <x:c r="G4" s="30" t="str">
        <x:v>Cut Test
/20</x:v>
      </x:c>
      <x:c r="H4" s="30" t="str">
        <x:v>Stop Test
/10</x:v>
      </x:c>
      <x:c r="I4" s="30" t="str">
        <x:v>Draw @24"
Avg in</x:v>
      </x:c>
      <x:c r="J4" s="30" t="str">
        <x:v>5-Ball Clear
/5</x:v>
      </x:c>
      <x:c r="K4" s="30" t="str">
        <x:v>P Errors</x:v>
      </x:c>
      <x:c r="L4" s="30" t="str">
        <x:v>C Errors</x:v>
      </x:c>
      <x:c r="M4" s="30" t="str">
        <x:v>S Errors</x:v>
      </x:c>
      <x:c r="N4" s="30" t="str">
        <x:v>D Errors</x:v>
      </x:c>
    </x:row>
    <x:row r="5">
      <x:c r="A5" s="58" t="n">
        <x:v>1</x:v>
      </x:c>
      <x:c r="B5" s="58"/>
      <x:c r="C5" s="58"/>
      <x:c r="D5" s="58"/>
      <x:c r="E5" s="58"/>
      <x:c r="F5" s="58"/>
      <x:c r="G5" s="58"/>
      <x:c r="H5" s="58"/>
      <x:c r="I5" s="58"/>
      <x:c r="J5" s="58"/>
      <x:c r="K5" s="58" t="n">
        <x:v>0</x:v>
      </x:c>
      <x:c r="L5" s="58" t="n">
        <x:v>0</x:v>
      </x:c>
      <x:c r="M5" s="58" t="n">
        <x:v>0</x:v>
      </x:c>
      <x:c r="N5" s="58" t="n">
        <x:v>0</x:v>
      </x:c>
    </x:row>
    <x:row r="6">
      <x:c r="A6" s="58" t="n">
        <x:v>2</x:v>
      </x:c>
      <x:c r="B6" s="58"/>
      <x:c r="C6" s="58"/>
      <x:c r="D6" s="58"/>
      <x:c r="E6" s="58"/>
      <x:c r="F6" s="58"/>
      <x:c r="G6" s="58"/>
      <x:c r="H6" s="58"/>
      <x:c r="I6" s="58"/>
      <x:c r="J6" s="58"/>
      <x:c r="K6" s="58" t="n">
        <x:v>0</x:v>
      </x:c>
      <x:c r="L6" s="58" t="n">
        <x:v>0</x:v>
      </x:c>
      <x:c r="M6" s="58" t="n">
        <x:v>0</x:v>
      </x:c>
      <x:c r="N6" s="58" t="n">
        <x:v>0</x:v>
      </x:c>
    </x:row>
    <x:row r="7">
      <x:c r="A7" s="58" t="n">
        <x:v>3</x:v>
      </x:c>
      <x:c r="B7" s="58"/>
      <x:c r="C7" s="58"/>
      <x:c r="D7" s="58"/>
      <x:c r="E7" s="58"/>
      <x:c r="F7" s="58"/>
      <x:c r="G7" s="58"/>
      <x:c r="H7" s="58"/>
      <x:c r="I7" s="58"/>
      <x:c r="J7" s="58"/>
      <x:c r="K7" s="58" t="n">
        <x:v>0</x:v>
      </x:c>
      <x:c r="L7" s="58" t="n">
        <x:v>0</x:v>
      </x:c>
      <x:c r="M7" s="58" t="n">
        <x:v>0</x:v>
      </x:c>
      <x:c r="N7" s="58" t="n">
        <x:v>0</x:v>
      </x:c>
    </x:row>
    <x:row r="8">
      <x:c r="A8" s="58" t="n">
        <x:v>4</x:v>
      </x:c>
      <x:c r="B8" s="58"/>
      <x:c r="C8" s="58"/>
      <x:c r="D8" s="58"/>
      <x:c r="E8" s="58"/>
      <x:c r="F8" s="58"/>
      <x:c r="G8" s="58"/>
      <x:c r="H8" s="58"/>
      <x:c r="I8" s="58"/>
      <x:c r="J8" s="58"/>
      <x:c r="K8" s="58" t="n">
        <x:v>0</x:v>
      </x:c>
      <x:c r="L8" s="58" t="n">
        <x:v>0</x:v>
      </x:c>
      <x:c r="M8" s="58" t="n">
        <x:v>0</x:v>
      </x:c>
      <x:c r="N8" s="58" t="n">
        <x:v>0</x:v>
      </x:c>
    </x:row>
    <x:row r="9">
      <x:c r="A9" s="58" t="n">
        <x:v>5</x:v>
      </x:c>
      <x:c r="B9" s="58"/>
      <x:c r="C9" s="58"/>
      <x:c r="D9" s="58"/>
      <x:c r="E9" s="58"/>
      <x:c r="F9" s="58"/>
      <x:c r="G9" s="58"/>
      <x:c r="H9" s="58"/>
      <x:c r="I9" s="58"/>
      <x:c r="J9" s="58"/>
      <x:c r="K9" s="58" t="n">
        <x:v>0</x:v>
      </x:c>
      <x:c r="L9" s="58" t="n">
        <x:v>0</x:v>
      </x:c>
      <x:c r="M9" s="58" t="n">
        <x:v>0</x:v>
      </x:c>
      <x:c r="N9" s="58" t="n">
        <x:v>0</x:v>
      </x:c>
    </x:row>
    <x:row r="10">
      <x:c r="A10" s="58" t="n">
        <x:v>6</x:v>
      </x:c>
      <x:c r="B10" s="58"/>
      <x:c r="C10" s="58"/>
      <x:c r="D10" s="58"/>
      <x:c r="E10" s="58"/>
      <x:c r="F10" s="58"/>
      <x:c r="G10" s="58"/>
      <x:c r="H10" s="58"/>
      <x:c r="I10" s="58"/>
      <x:c r="J10" s="58"/>
      <x:c r="K10" s="58" t="n">
        <x:v>0</x:v>
      </x:c>
      <x:c r="L10" s="58" t="n">
        <x:v>0</x:v>
      </x:c>
      <x:c r="M10" s="58" t="n">
        <x:v>0</x:v>
      </x:c>
      <x:c r="N10" s="58" t="n">
        <x:v>0</x:v>
      </x:c>
    </x:row>
    <x:row r="11">
      <x:c r="A11" s="58" t="n">
        <x:v>7</x:v>
      </x:c>
      <x:c r="B11" s="58"/>
      <x:c r="C11" s="58"/>
      <x:c r="D11" s="58"/>
      <x:c r="E11" s="58"/>
      <x:c r="F11" s="58"/>
      <x:c r="G11" s="58"/>
      <x:c r="H11" s="58"/>
      <x:c r="I11" s="58"/>
      <x:c r="J11" s="58"/>
      <x:c r="K11" s="58" t="n">
        <x:v>0</x:v>
      </x:c>
      <x:c r="L11" s="58" t="n">
        <x:v>0</x:v>
      </x:c>
      <x:c r="M11" s="58" t="n">
        <x:v>0</x:v>
      </x:c>
      <x:c r="N11" s="58" t="n">
        <x:v>0</x:v>
      </x:c>
    </x:row>
    <x:row r="12">
      <x:c r="A12" s="58" t="n">
        <x:v>8</x:v>
      </x:c>
      <x:c r="B12" s="58"/>
      <x:c r="C12" s="58"/>
      <x:c r="D12" s="58"/>
      <x:c r="E12" s="58"/>
      <x:c r="F12" s="58"/>
      <x:c r="G12" s="58"/>
      <x:c r="H12" s="58"/>
      <x:c r="I12" s="58"/>
      <x:c r="J12" s="58"/>
      <x:c r="K12" s="58" t="n">
        <x:v>0</x:v>
      </x:c>
      <x:c r="L12" s="58" t="n">
        <x:v>0</x:v>
      </x:c>
      <x:c r="M12" s="58" t="n">
        <x:v>0</x:v>
      </x:c>
      <x:c r="N12" s="58" t="n">
        <x:v>0</x:v>
      </x:c>
    </x:row>
    <x:row r="13">
      <x:c r="A13" s="58" t="n">
        <x:v>9</x:v>
      </x:c>
      <x:c r="B13" s="58"/>
      <x:c r="C13" s="58"/>
      <x:c r="D13" s="58"/>
      <x:c r="E13" s="58"/>
      <x:c r="F13" s="58"/>
      <x:c r="G13" s="58"/>
      <x:c r="H13" s="58"/>
      <x:c r="I13" s="58"/>
      <x:c r="J13" s="58"/>
      <x:c r="K13" s="58" t="n">
        <x:v>0</x:v>
      </x:c>
      <x:c r="L13" s="58" t="n">
        <x:v>0</x:v>
      </x:c>
      <x:c r="M13" s="58" t="n">
        <x:v>0</x:v>
      </x:c>
      <x:c r="N13" s="58" t="n">
        <x:v>0</x:v>
      </x:c>
    </x:row>
    <x:row r="14">
      <x:c r="A14" s="58" t="n">
        <x:v>10</x:v>
      </x:c>
      <x:c r="B14" s="58"/>
      <x:c r="C14" s="58"/>
      <x:c r="D14" s="58"/>
      <x:c r="E14" s="58"/>
      <x:c r="F14" s="58"/>
      <x:c r="G14" s="58"/>
      <x:c r="H14" s="58"/>
      <x:c r="I14" s="58"/>
      <x:c r="J14" s="58"/>
      <x:c r="K14" s="58" t="n">
        <x:v>0</x:v>
      </x:c>
      <x:c r="L14" s="58" t="n">
        <x:v>0</x:v>
      </x:c>
      <x:c r="M14" s="58" t="n">
        <x:v>0</x:v>
      </x:c>
      <x:c r="N14" s="58" t="n">
        <x:v>0</x:v>
      </x:c>
    </x:row>
    <x:row r="15">
      <x:c r="A15" s="58" t="n">
        <x:v>11</x:v>
      </x:c>
      <x:c r="B15" s="58"/>
      <x:c r="C15" s="58"/>
      <x:c r="D15" s="58"/>
      <x:c r="E15" s="58"/>
      <x:c r="F15" s="58"/>
      <x:c r="G15" s="58"/>
      <x:c r="H15" s="58"/>
      <x:c r="I15" s="58"/>
      <x:c r="J15" s="58"/>
      <x:c r="K15" s="58" t="n">
        <x:v>0</x:v>
      </x:c>
      <x:c r="L15" s="58" t="n">
        <x:v>0</x:v>
      </x:c>
      <x:c r="M15" s="58" t="n">
        <x:v>0</x:v>
      </x:c>
      <x:c r="N15" s="58" t="n">
        <x:v>0</x:v>
      </x:c>
    </x:row>
    <x:row r="16">
      <x:c r="A16" s="58" t="n">
        <x:v>12</x:v>
      </x:c>
      <x:c r="B16" s="58"/>
      <x:c r="C16" s="58"/>
      <x:c r="D16" s="58"/>
      <x:c r="E16" s="58"/>
      <x:c r="F16" s="58"/>
      <x:c r="G16" s="58"/>
      <x:c r="H16" s="58"/>
      <x:c r="I16" s="58"/>
      <x:c r="J16" s="58"/>
      <x:c r="K16" s="58" t="n">
        <x:v>0</x:v>
      </x:c>
      <x:c r="L16" s="58" t="n">
        <x:v>0</x:v>
      </x:c>
      <x:c r="M16" s="58" t="n">
        <x:v>0</x:v>
      </x:c>
      <x:c r="N16" s="58" t="n">
        <x:v>0</x:v>
      </x:c>
    </x:row>
    <x:row r="17">
      <x:c r="A17" s="58" t="n">
        <x:v>13</x:v>
      </x:c>
      <x:c r="B17" s="58"/>
      <x:c r="C17" s="58"/>
      <x:c r="D17" s="58"/>
      <x:c r="E17" s="58"/>
      <x:c r="F17" s="58"/>
      <x:c r="G17" s="58"/>
      <x:c r="H17" s="58"/>
      <x:c r="I17" s="58"/>
      <x:c r="J17" s="58"/>
      <x:c r="K17" s="58" t="n">
        <x:v>0</x:v>
      </x:c>
      <x:c r="L17" s="58" t="n">
        <x:v>0</x:v>
      </x:c>
      <x:c r="M17" s="58" t="n">
        <x:v>0</x:v>
      </x:c>
      <x:c r="N17" s="58" t="n">
        <x:v>0</x:v>
      </x:c>
    </x:row>
    <x:row r="18">
      <x:c r="A18" s="58" t="n">
        <x:v>14</x:v>
      </x:c>
      <x:c r="B18" s="58"/>
      <x:c r="C18" s="58"/>
      <x:c r="D18" s="58"/>
      <x:c r="E18" s="58"/>
      <x:c r="F18" s="58"/>
      <x:c r="G18" s="58"/>
      <x:c r="H18" s="58"/>
      <x:c r="I18" s="58"/>
      <x:c r="J18" s="58"/>
      <x:c r="K18" s="58" t="n">
        <x:v>0</x:v>
      </x:c>
      <x:c r="L18" s="58" t="n">
        <x:v>0</x:v>
      </x:c>
      <x:c r="M18" s="58" t="n">
        <x:v>0</x:v>
      </x:c>
      <x:c r="N18" s="58" t="n">
        <x:v>0</x:v>
      </x:c>
    </x:row>
    <x:row r="19">
      <x:c r="A19" s="58" t="n">
        <x:v>15</x:v>
      </x:c>
      <x:c r="B19" s="58"/>
      <x:c r="C19" s="58"/>
      <x:c r="D19" s="58"/>
      <x:c r="E19" s="58"/>
      <x:c r="F19" s="58"/>
      <x:c r="G19" s="58"/>
      <x:c r="H19" s="58"/>
      <x:c r="I19" s="58"/>
      <x:c r="J19" s="58"/>
      <x:c r="K19" s="58" t="n">
        <x:v>0</x:v>
      </x:c>
      <x:c r="L19" s="58" t="n">
        <x:v>0</x:v>
      </x:c>
      <x:c r="M19" s="58" t="n">
        <x:v>0</x:v>
      </x:c>
      <x:c r="N19" s="58" t="n">
        <x:v>0</x:v>
      </x:c>
    </x:row>
    <x:row r="20">
      <x:c r="A20" s="58" t="n">
        <x:v>16</x:v>
      </x:c>
      <x:c r="B20" s="58"/>
      <x:c r="C20" s="58"/>
      <x:c r="D20" s="58"/>
      <x:c r="E20" s="58"/>
      <x:c r="F20" s="58"/>
      <x:c r="G20" s="58"/>
      <x:c r="H20" s="58"/>
      <x:c r="I20" s="58"/>
      <x:c r="J20" s="58"/>
      <x:c r="K20" s="58" t="n">
        <x:v>0</x:v>
      </x:c>
      <x:c r="L20" s="58" t="n">
        <x:v>0</x:v>
      </x:c>
      <x:c r="M20" s="58" t="n">
        <x:v>0</x:v>
      </x:c>
      <x:c r="N20" s="58" t="n">
        <x:v>0</x:v>
      </x:c>
    </x:row>
    <x:row r="21">
      <x:c r="A21" s="58" t="n">
        <x:v>17</x:v>
      </x:c>
      <x:c r="B21" s="58"/>
      <x:c r="C21" s="58"/>
      <x:c r="D21" s="58"/>
      <x:c r="E21" s="58"/>
      <x:c r="F21" s="58"/>
      <x:c r="G21" s="58"/>
      <x:c r="H21" s="58"/>
      <x:c r="I21" s="58"/>
      <x:c r="J21" s="58"/>
      <x:c r="K21" s="58" t="n">
        <x:v>0</x:v>
      </x:c>
      <x:c r="L21" s="58" t="n">
        <x:v>0</x:v>
      </x:c>
      <x:c r="M21" s="58" t="n">
        <x:v>0</x:v>
      </x:c>
      <x:c r="N21" s="58" t="n">
        <x:v>0</x:v>
      </x:c>
    </x:row>
    <x:row r="22">
      <x:c r="A22" s="58" t="n">
        <x:v>18</x:v>
      </x:c>
      <x:c r="B22" s="58"/>
      <x:c r="C22" s="58"/>
      <x:c r="D22" s="58"/>
      <x:c r="E22" s="58"/>
      <x:c r="F22" s="58"/>
      <x:c r="G22" s="58"/>
      <x:c r="H22" s="58"/>
      <x:c r="I22" s="58"/>
      <x:c r="J22" s="58"/>
      <x:c r="K22" s="58" t="n">
        <x:v>0</x:v>
      </x:c>
      <x:c r="L22" s="58" t="n">
        <x:v>0</x:v>
      </x:c>
      <x:c r="M22" s="58" t="n">
        <x:v>0</x:v>
      </x:c>
      <x:c r="N22" s="58" t="n">
        <x:v>0</x:v>
      </x:c>
    </x:row>
    <x:row r="23">
      <x:c r="A23" s="58" t="n">
        <x:v>19</x:v>
      </x:c>
      <x:c r="B23" s="58"/>
      <x:c r="C23" s="58"/>
      <x:c r="D23" s="58"/>
      <x:c r="E23" s="58"/>
      <x:c r="F23" s="58"/>
      <x:c r="G23" s="58"/>
      <x:c r="H23" s="58"/>
      <x:c r="I23" s="58"/>
      <x:c r="J23" s="58"/>
      <x:c r="K23" s="58" t="n">
        <x:v>0</x:v>
      </x:c>
      <x:c r="L23" s="58" t="n">
        <x:v>0</x:v>
      </x:c>
      <x:c r="M23" s="58" t="n">
        <x:v>0</x:v>
      </x:c>
      <x:c r="N23" s="58" t="n">
        <x:v>0</x:v>
      </x:c>
    </x:row>
    <x:row r="24">
      <x:c r="A24" s="58" t="n">
        <x:v>20</x:v>
      </x:c>
      <x:c r="B24" s="58"/>
      <x:c r="C24" s="58"/>
      <x:c r="D24" s="58"/>
      <x:c r="E24" s="58"/>
      <x:c r="F24" s="58"/>
      <x:c r="G24" s="58"/>
      <x:c r="H24" s="58"/>
      <x:c r="I24" s="58"/>
      <x:c r="J24" s="58"/>
      <x:c r="K24" s="58" t="n">
        <x:v>0</x:v>
      </x:c>
      <x:c r="L24" s="58" t="n">
        <x:v>0</x:v>
      </x:c>
      <x:c r="M24" s="58" t="n">
        <x:v>0</x:v>
      </x:c>
      <x:c r="N24" s="58" t="n">
        <x:v>0</x:v>
      </x:c>
    </x:row>
    <x:row r="25">
      <x:c r="A25" s="58" t="n">
        <x:v>21</x:v>
      </x:c>
      <x:c r="B25" s="58"/>
      <x:c r="C25" s="58"/>
      <x:c r="D25" s="58"/>
      <x:c r="E25" s="58"/>
      <x:c r="F25" s="58"/>
      <x:c r="G25" s="58"/>
      <x:c r="H25" s="58"/>
      <x:c r="I25" s="58"/>
      <x:c r="J25" s="58"/>
      <x:c r="K25" s="58" t="n">
        <x:v>0</x:v>
      </x:c>
      <x:c r="L25" s="58" t="n">
        <x:v>0</x:v>
      </x:c>
      <x:c r="M25" s="58" t="n">
        <x:v>0</x:v>
      </x:c>
      <x:c r="N25" s="58" t="n">
        <x:v>0</x:v>
      </x:c>
    </x:row>
    <x:row r="26">
      <x:c r="A26" s="58" t="n">
        <x:v>22</x:v>
      </x:c>
      <x:c r="B26" s="58"/>
      <x:c r="C26" s="58"/>
      <x:c r="D26" s="58"/>
      <x:c r="E26" s="58"/>
      <x:c r="F26" s="58"/>
      <x:c r="G26" s="58"/>
      <x:c r="H26" s="58"/>
      <x:c r="I26" s="58"/>
      <x:c r="J26" s="58"/>
      <x:c r="K26" s="58" t="n">
        <x:v>0</x:v>
      </x:c>
      <x:c r="L26" s="58" t="n">
        <x:v>0</x:v>
      </x:c>
      <x:c r="M26" s="58" t="n">
        <x:v>0</x:v>
      </x:c>
      <x:c r="N26" s="58" t="n">
        <x:v>0</x:v>
      </x:c>
    </x:row>
    <x:row r="27">
      <x:c r="A27" s="58" t="n">
        <x:v>23</x:v>
      </x:c>
      <x:c r="B27" s="58"/>
      <x:c r="C27" s="58"/>
      <x:c r="D27" s="58"/>
      <x:c r="E27" s="58"/>
      <x:c r="F27" s="58"/>
      <x:c r="G27" s="58"/>
      <x:c r="H27" s="58"/>
      <x:c r="I27" s="58"/>
      <x:c r="J27" s="58"/>
      <x:c r="K27" s="58" t="n">
        <x:v>0</x:v>
      </x:c>
      <x:c r="L27" s="58" t="n">
        <x:v>0</x:v>
      </x:c>
      <x:c r="M27" s="58" t="n">
        <x:v>0</x:v>
      </x:c>
      <x:c r="N27" s="58" t="n">
        <x:v>0</x:v>
      </x:c>
    </x:row>
    <x:row r="28">
      <x:c r="A28" s="58" t="n">
        <x:v>24</x:v>
      </x:c>
      <x:c r="B28" s="58"/>
      <x:c r="C28" s="58"/>
      <x:c r="D28" s="58"/>
      <x:c r="E28" s="58"/>
      <x:c r="F28" s="58"/>
      <x:c r="G28" s="58"/>
      <x:c r="H28" s="58"/>
      <x:c r="I28" s="58"/>
      <x:c r="J28" s="58"/>
      <x:c r="K28" s="58" t="n">
        <x:v>0</x:v>
      </x:c>
      <x:c r="L28" s="58" t="n">
        <x:v>0</x:v>
      </x:c>
      <x:c r="M28" s="58" t="n">
        <x:v>0</x:v>
      </x:c>
      <x:c r="N28" s="58" t="n">
        <x:v>0</x:v>
      </x:c>
    </x:row>
    <x:row r="29">
      <x:c r="A29" s="58" t="n">
        <x:v>25</x:v>
      </x:c>
      <x:c r="B29" s="58"/>
      <x:c r="C29" s="58"/>
      <x:c r="D29" s="58"/>
      <x:c r="E29" s="58"/>
      <x:c r="F29" s="58"/>
      <x:c r="G29" s="58"/>
      <x:c r="H29" s="58"/>
      <x:c r="I29" s="58"/>
      <x:c r="J29" s="58"/>
      <x:c r="K29" s="58" t="n">
        <x:v>0</x:v>
      </x:c>
      <x:c r="L29" s="58" t="n">
        <x:v>0</x:v>
      </x:c>
      <x:c r="M29" s="58" t="n">
        <x:v>0</x:v>
      </x:c>
      <x:c r="N29" s="58" t="n">
        <x:v>0</x:v>
      </x:c>
    </x:row>
    <x:row r="30">
      <x:c r="A30" s="58" t="n">
        <x:v>26</x:v>
      </x:c>
      <x:c r="B30" s="58"/>
      <x:c r="C30" s="58"/>
      <x:c r="D30" s="58"/>
      <x:c r="E30" s="58"/>
      <x:c r="F30" s="58"/>
      <x:c r="G30" s="58"/>
      <x:c r="H30" s="58"/>
      <x:c r="I30" s="58"/>
      <x:c r="J30" s="58"/>
      <x:c r="K30" s="58" t="n">
        <x:v>0</x:v>
      </x:c>
      <x:c r="L30" s="58" t="n">
        <x:v>0</x:v>
      </x:c>
      <x:c r="M30" s="58" t="n">
        <x:v>0</x:v>
      </x:c>
      <x:c r="N30" s="58" t="n">
        <x:v>0</x:v>
      </x:c>
    </x:row>
    <x:row r="31">
      <x:c r="A31" s="58" t="n">
        <x:v>27</x:v>
      </x:c>
      <x:c r="B31" s="58"/>
      <x:c r="C31" s="58"/>
      <x:c r="D31" s="58"/>
      <x:c r="E31" s="58"/>
      <x:c r="F31" s="58"/>
      <x:c r="G31" s="58"/>
      <x:c r="H31" s="58"/>
      <x:c r="I31" s="58"/>
      <x:c r="J31" s="58"/>
      <x:c r="K31" s="58" t="n">
        <x:v>0</x:v>
      </x:c>
      <x:c r="L31" s="58" t="n">
        <x:v>0</x:v>
      </x:c>
      <x:c r="M31" s="58" t="n">
        <x:v>0</x:v>
      </x:c>
      <x:c r="N31" s="58" t="n">
        <x:v>0</x:v>
      </x:c>
    </x:row>
    <x:row r="32">
      <x:c r="A32" s="58" t="n">
        <x:v>28</x:v>
      </x:c>
      <x:c r="B32" s="58"/>
      <x:c r="C32" s="58"/>
      <x:c r="D32" s="58"/>
      <x:c r="E32" s="58"/>
      <x:c r="F32" s="58"/>
      <x:c r="G32" s="58"/>
      <x:c r="H32" s="58"/>
      <x:c r="I32" s="58"/>
      <x:c r="J32" s="58"/>
      <x:c r="K32" s="58" t="n">
        <x:v>0</x:v>
      </x:c>
      <x:c r="L32" s="58" t="n">
        <x:v>0</x:v>
      </x:c>
      <x:c r="M32" s="58" t="n">
        <x:v>0</x:v>
      </x:c>
      <x:c r="N32" s="58" t="n">
        <x:v>0</x:v>
      </x:c>
    </x:row>
    <x:row r="33">
      <x:c r="A33" s="58" t="n">
        <x:v>29</x:v>
      </x:c>
      <x:c r="B33" s="58"/>
      <x:c r="C33" s="58"/>
      <x:c r="D33" s="58"/>
      <x:c r="E33" s="58"/>
      <x:c r="F33" s="58"/>
      <x:c r="G33" s="58"/>
      <x:c r="H33" s="58"/>
      <x:c r="I33" s="58"/>
      <x:c r="J33" s="58"/>
      <x:c r="K33" s="58" t="n">
        <x:v>0</x:v>
      </x:c>
      <x:c r="L33" s="58" t="n">
        <x:v>0</x:v>
      </x:c>
      <x:c r="M33" s="58" t="n">
        <x:v>0</x:v>
      </x:c>
      <x:c r="N33" s="58" t="n">
        <x:v>0</x:v>
      </x:c>
    </x:row>
    <x:row r="34">
      <x:c r="A34" s="58" t="n">
        <x:v>30</x:v>
      </x:c>
      <x:c r="B34" s="58"/>
      <x:c r="C34" s="58"/>
      <x:c r="D34" s="58"/>
      <x:c r="E34" s="58"/>
      <x:c r="F34" s="58"/>
      <x:c r="G34" s="58"/>
      <x:c r="H34" s="58"/>
      <x:c r="I34" s="58"/>
      <x:c r="J34" s="58"/>
      <x:c r="K34" s="58" t="n">
        <x:v>0</x:v>
      </x:c>
      <x:c r="L34" s="58" t="n">
        <x:v>0</x:v>
      </x:c>
      <x:c r="M34" s="58" t="n">
        <x:v>0</x:v>
      </x:c>
      <x:c r="N34" s="58" t="n">
        <x:v>0</x:v>
      </x:c>
    </x:row>
    <x:row r="35">
      <x:c r="A35" s="44"/>
      <x:c r="B35" s="44"/>
      <x:c r="C35" s="44"/>
      <x:c r="D35" s="44"/>
      <x:c r="E35" s="44"/>
      <x:c r="F35" s="44"/>
      <x:c r="G35" s="44"/>
      <x:c r="H35" s="44"/>
      <x:c r="I35" s="44"/>
      <x:c r="J35" s="44"/>
      <x:c r="K35" s="44"/>
      <x:c r="L35" s="44"/>
      <x:c r="M35" s="44"/>
      <x:c r="N35" s="44"/>
    </x:row>
    <x:row r="36">
      <x:c r="A36" s="44"/>
      <x:c r="B36" s="44"/>
      <x:c r="C36" s="44"/>
      <x:c r="D36" s="44"/>
      <x:c r="E36" s="44"/>
      <x:c r="F36" s="44"/>
      <x:c r="G36" s="44"/>
      <x:c r="H36" s="44"/>
      <x:c r="I36" s="44"/>
      <x:c r="J36" s="44"/>
      <x:c r="K36" s="44"/>
      <x:c r="L36" s="44"/>
      <x:c r="M36" s="44"/>
      <x:c r="N36" s="44"/>
    </x:row>
    <x:row r="37">
      <x:c r="A37" s="45" t="str">
        <x:v>Weekly Test Summary</x:v>
      </x:c>
      <x:c r="B37" s="45"/>
      <x:c r="C37" s="45"/>
      <x:c r="D37" s="45"/>
      <x:c r="E37" s="45"/>
      <x:c r="F37" s="45"/>
      <x:c r="G37" s="45"/>
      <x:c r="H37" s="44"/>
      <x:c r="I37" s="45" t="str">
        <x:v>30-Day Error Totals</x:v>
      </x:c>
      <x:c r="J37" s="45"/>
      <x:c r="K37" s="45"/>
      <x:c r="L37" s="45"/>
      <x:c r="M37" s="45"/>
      <x:c r="N37" s="45"/>
    </x:row>
    <x:row r="38">
      <x:c r="A38" s="30" t="str">
        <x:v>Metric</x:v>
      </x:c>
      <x:c r="B38" s="30" t="str">
        <x:v>Week 1 Avg</x:v>
      </x:c>
      <x:c r="C38" s="30" t="str">
        <x:v>Week 2 Avg</x:v>
      </x:c>
      <x:c r="D38" s="30" t="str">
        <x:v>Week 3 Avg</x:v>
      </x:c>
      <x:c r="E38" s="30" t="str">
        <x:v>Week 4 Avg</x:v>
      </x:c>
      <x:c r="F38" s="30" t="str">
        <x:v>30-Day Best</x:v>
      </x:c>
      <x:c r="G38" s="30" t="str">
        <x:v>30-Day Avg</x:v>
      </x:c>
      <x:c r="H38" s="44"/>
      <x:c r="I38" s="30" t="str">
        <x:v>Error</x:v>
      </x:c>
      <x:c r="J38" s="30" t="str">
        <x:v>Total</x:v>
      </x:c>
      <x:c r="K38" s="44"/>
      <x:c r="L38" s="44"/>
      <x:c r="M38" s="44"/>
      <x:c r="N38" s="44"/>
    </x:row>
    <x:row r="39">
      <x:c r="A39" s="44" t="str">
        <x:v>Straight /10</x:v>
      </x:c>
      <x:c r="B39" s="44" t="str">
        <x:f>IFERROR(AVERAGE(F5:F11),"")</x:f>
      </x:c>
      <x:c r="C39" s="44" t="str">
        <x:f>IFERROR(AVERAGE(F12:F18),"")</x:f>
      </x:c>
      <x:c r="D39" s="44" t="str">
        <x:f>IFERROR(AVERAGE(F19:F25),"")</x:f>
      </x:c>
      <x:c r="E39" s="44" t="str">
        <x:f>IFERROR(AVERAGE(F26:F34),"")</x:f>
      </x:c>
      <x:c r="F39" s="44" t="n">
        <x:f>IFERROR(MAX(F5:F34),"")</x:f>
        <x:v>0</x:v>
      </x:c>
      <x:c r="G39" s="44" t="str">
        <x:f>IFERROR(AVERAGE(F5:F34),"")</x:f>
      </x:c>
      <x:c r="H39" s="44"/>
      <x:c r="I39" s="44" t="str">
        <x:v>P — Potting</x:v>
      </x:c>
      <x:c r="J39" s="44" t="n">
        <x:f>SUM(K5:K34)</x:f>
        <x:v>0</x:v>
      </x:c>
      <x:c r="K39" s="44"/>
      <x:c r="L39" s="44"/>
      <x:c r="M39" s="44"/>
      <x:c r="N39" s="44"/>
    </x:row>
    <x:row r="40">
      <x:c r="A40" s="44" t="str">
        <x:v>Cut /20</x:v>
      </x:c>
      <x:c r="B40" s="44" t="str">
        <x:f>IFERROR(AVERAGE(G5:G11),"")</x:f>
      </x:c>
      <x:c r="C40" s="44" t="str">
        <x:f>IFERROR(AVERAGE(G12:G18),"")</x:f>
      </x:c>
      <x:c r="D40" s="44" t="str">
        <x:f>IFERROR(AVERAGE(G19:G25),"")</x:f>
      </x:c>
      <x:c r="E40" s="44" t="str">
        <x:f>IFERROR(AVERAGE(G26:G34),"")</x:f>
      </x:c>
      <x:c r="F40" s="44" t="n">
        <x:f>IFERROR(MAX(G5:G34),"")</x:f>
        <x:v>0</x:v>
      </x:c>
      <x:c r="G40" s="44" t="str">
        <x:f>IFERROR(AVERAGE(G5:G34),"")</x:f>
      </x:c>
      <x:c r="H40" s="44"/>
      <x:c r="I40" s="44" t="str">
        <x:v>C — Cue-ball</x:v>
      </x:c>
      <x:c r="J40" s="44" t="n">
        <x:f>SUM(L5:L34)</x:f>
        <x:v>0</x:v>
      </x:c>
      <x:c r="K40" s="44"/>
      <x:c r="L40" s="44"/>
      <x:c r="M40" s="44"/>
      <x:c r="N40" s="44"/>
    </x:row>
    <x:row r="41">
      <x:c r="A41" s="44" t="str">
        <x:v>Stop /10</x:v>
      </x:c>
      <x:c r="B41" s="44" t="str">
        <x:f>IFERROR(AVERAGE(H5:H11),"")</x:f>
      </x:c>
      <x:c r="C41" s="44" t="str">
        <x:f>IFERROR(AVERAGE(H12:H18),"")</x:f>
      </x:c>
      <x:c r="D41" s="44" t="str">
        <x:f>IFERROR(AVERAGE(H19:H25),"")</x:f>
      </x:c>
      <x:c r="E41" s="44" t="str">
        <x:f>IFERROR(AVERAGE(H26:H34),"")</x:f>
      </x:c>
      <x:c r="F41" s="44" t="n">
        <x:f>IFERROR(MAX(H5:H34),"")</x:f>
        <x:v>0</x:v>
      </x:c>
      <x:c r="G41" s="44" t="str">
        <x:f>IFERROR(AVERAGE(H5:H34),"")</x:f>
      </x:c>
      <x:c r="H41" s="44"/>
      <x:c r="I41" s="44" t="str">
        <x:v>S — Spin/Speed</x:v>
      </x:c>
      <x:c r="J41" s="44" t="n">
        <x:f>SUM(M5:M34)</x:f>
        <x:v>0</x:v>
      </x:c>
      <x:c r="K41" s="44"/>
      <x:c r="L41" s="44"/>
      <x:c r="M41" s="44"/>
      <x:c r="N41" s="44"/>
    </x:row>
    <x:row r="42">
      <x:c r="A42" s="44" t="str">
        <x:v>Draw @24" (in)</x:v>
      </x:c>
      <x:c r="B42" s="44" t="str">
        <x:f>IFERROR(AVERAGE(I5:I11),"")</x:f>
      </x:c>
      <x:c r="C42" s="44" t="str">
        <x:f>IFERROR(AVERAGE(I12:I18),"")</x:f>
      </x:c>
      <x:c r="D42" s="44" t="str">
        <x:f>IFERROR(AVERAGE(I19:I25),"")</x:f>
      </x:c>
      <x:c r="E42" s="44" t="str">
        <x:f>IFERROR(AVERAGE(I26:I34),"")</x:f>
      </x:c>
      <x:c r="F42" s="44" t="n">
        <x:f>IFERROR(MAX(I5:I34),"")</x:f>
        <x:v>0</x:v>
      </x:c>
      <x:c r="G42" s="44" t="str">
        <x:f>IFERROR(AVERAGE(I5:I34),"")</x:f>
      </x:c>
      <x:c r="H42" s="44"/>
      <x:c r="I42" s="44" t="str">
        <x:v>D — Decision</x:v>
      </x:c>
      <x:c r="J42" s="44" t="n">
        <x:f>SUM(N5:N34)</x:f>
        <x:v>0</x:v>
      </x:c>
      <x:c r="K42" s="44"/>
      <x:c r="L42" s="44"/>
      <x:c r="M42" s="44"/>
      <x:c r="N42" s="44"/>
    </x:row>
    <x:row r="43">
      <x:c r="A43" s="44" t="str">
        <x:v>5-Ball /5</x:v>
      </x:c>
      <x:c r="B43" s="44" t="str">
        <x:f>IFERROR(AVERAGE(J5:J11),"")</x:f>
      </x:c>
      <x:c r="C43" s="44" t="str">
        <x:f>IFERROR(AVERAGE(J12:J18),"")</x:f>
      </x:c>
      <x:c r="D43" s="44" t="str">
        <x:f>IFERROR(AVERAGE(J19:J25),"")</x:f>
      </x:c>
      <x:c r="E43" s="44" t="str">
        <x:f>IFERROR(AVERAGE(J26:J34),"")</x:f>
      </x:c>
      <x:c r="F43" s="44" t="n">
        <x:f>IFERROR(MAX(J5:J34),"")</x:f>
        <x:v>0</x:v>
      </x:c>
      <x:c r="G43" s="44" t="str">
        <x:f>IFERROR(AVERAGE(J5:J34),"")</x:f>
      </x:c>
      <x:c r="H43" s="44"/>
      <x:c r="I43" s="44"/>
      <x:c r="J43" s="44"/>
      <x:c r="K43" s="44"/>
      <x:c r="L43" s="44"/>
      <x:c r="M43" s="44"/>
      <x:c r="N43" s="44"/>
    </x:row>
  </x:sheetData>
  <x:mergeCells>
    <x:mergeCell ref="A1:N1"/>
    <x:mergeCell ref="A2:N2"/>
    <x:mergeCell ref="A37:G37"/>
    <x:mergeCell ref="I37:N37"/>
  </x:mergeCells>
  <x:conditionalFormatting sqref="F5:J34">
    <x:cfRule type="colorScale" priority="1">
      <x:colorScale>
        <x:cfvo type="min"/>
        <x:cfvo type="percentile" val="50"/>
        <x:cfvo type="max"/>
        <x:color rgb="FFFEE2E2"/>
        <x:color rgb="FFFEF3C7"/>
        <x:color rgb="FFDCFCE7"/>
      </x:colorScale>
    </x:cfRule>
  </x:conditionalFormatting>
  <x:dataValidations count="8">
    <x:dataValidation operator="between" sqref="C5:D34">
      <x:formula1>0</x:formula1>
      <x:formula2>180</x:formula2>
    </x:dataValidation>
    <x:dataValidation operator="between" sqref="E5:E34">
      <x:formula1>0</x:formula1>
      <x:formula2>500</x:formula2>
    </x:dataValidation>
    <x:dataValidation operator="between" sqref="F5:F34">
      <x:formula1>0</x:formula1>
      <x:formula2>10</x:formula2>
    </x:dataValidation>
    <x:dataValidation operator="between" sqref="G5:G34">
      <x:formula1>0</x:formula1>
      <x:formula2>20</x:formula2>
    </x:dataValidation>
    <x:dataValidation operator="between" sqref="H5:H34">
      <x:formula1>0</x:formula1>
      <x:formula2>10</x:formula2>
    </x:dataValidation>
    <x:dataValidation type="decimal" operator="between" sqref="I5:I34">
      <x:formula1>0</x:formula1>
      <x:formula2>100</x:formula2>
    </x:dataValidation>
    <x:dataValidation operator="between" sqref="J5:J34">
      <x:formula1>0</x:formula1>
      <x:formula2>5</x:formula2>
    </x:dataValidation>
    <x:dataValidation operator="between" sqref="K5:N34">
      <x:formula1>0</x:formula1>
      <x:formula2>99</x:formula2>
    </x:dataValidation>
  </x:dataValidations>
  <x:pageMargins left="0.7" right="0.7" top="0.75" bottom="0.75" header="0.3" footer="0.3"/>
  <x:drawing xmlns:r="http://schemas.openxmlformats.org/officeDocument/2006/relationships" r:id="R40f1de9974754c18"/>
</x:worksheet>
</file>

<file path=xl/worksheets/sheet4.xml><?xml version="1.0" encoding="utf-8"?>
<x:worksheet xmlns:x="http://schemas.openxmlformats.org/spreadsheetml/2006/main">
  <x:sheetFormatPr defaultRowHeight="15"/>
  <x:cols>
    <x:col min="1" max="1" width="20" hidden="0" customWidth="1"/>
    <x:col min="2" max="2" width="36" hidden="0" customWidth="1"/>
    <x:col min="3" max="3" width="35" hidden="0" customWidth="1"/>
    <x:col min="4" max="4" width="34" hidden="0" customWidth="1"/>
    <x:col min="5" max="5" width="35" hidden="0" customWidth="1"/>
    <x:col min="6" max="6" width="26" hidden="0" customWidth="1"/>
  </x:cols>
  <x:sheetData>
    <x:row r="1">
      <x:c r="A1" s="5" t="str">
        <x:v>Drill Reference — How to Run Each Drill</x:v>
      </x:c>
      <x:c r="B1" s="5"/>
      <x:c r="C1" s="5"/>
      <x:c r="D1" s="5"/>
      <x:c r="E1" s="5"/>
      <x:c r="F1" s="5"/>
    </x:row>
    <x:row r="3">
      <x:c r="A3" s="48" t="str">
        <x:v>Drill</x:v>
      </x:c>
      <x:c r="B3" s="48" t="str">
        <x:v>Ball Placement</x:v>
      </x:c>
      <x:c r="C3" s="48" t="str">
        <x:v>Execution Cue</x:v>
      </x:c>
      <x:c r="D3" s="48" t="str">
        <x:v>Common Mistake</x:v>
      </x:c>
      <x:c r="E3" s="48" t="str">
        <x:v>Progression</x:v>
      </x:c>
      <x:c r="F3" s="48" t="str">
        <x:v>When to Use Reducer</x:v>
      </x:c>
    </x:row>
    <x:row r="4">
      <x:c r="A4" s="49" t="str">
        <x:v>Straight ball</x:v>
      </x:c>
      <x:c r="B4" s="49" t="str">
        <x:v>OB straight to corner; vary CB distance from 1–4 ft.</x:v>
      </x:c>
      <x:c r="C4" s="49" t="str">
        <x:v>Freeze head; smooth final stroke; finish through CB.</x:v>
      </x:c>
      <x:c r="D4" s="49" t="str">
        <x:v>Steering at the last moment.</x:v>
      </x:c>
      <x:c r="E4" s="49" t="str">
        <x:v>Increase distance only after 8/10+ quality hits.</x:v>
      </x:c>
      <x:c r="F4" s="49" t="str">
        <x:v>Last 10 min only, for precision.</x:v>
      </x:c>
    </x:row>
    <x:row r="5">
      <x:c r="A5" s="49" t="str">
        <x:v>Stop shot</x:v>
      </x:c>
      <x:c r="B5" s="49" t="str">
        <x:v>Straight shot; fixed CB–OB distances.</x:v>
      </x:c>
      <x:c r="C5" s="49" t="str">
        <x:v>Center hit with controlled speed; hold finish.</x:v>
      </x:c>
      <x:c r="D5" s="49" t="str">
        <x:v>Using draw instead of true stun/stop.</x:v>
      </x:c>
      <x:c r="E5" s="49" t="str">
        <x:v>12" → 24" → 36".</x:v>
      </x:c>
      <x:c r="F5" s="49" t="str">
        <x:v>Usually no.</x:v>
      </x:c>
    </x:row>
    <x:row r="6">
      <x:c r="A6" s="49" t="str">
        <x:v>Draw</x:v>
      </x:c>
      <x:c r="B6" s="49" t="str">
        <x:v>Straight shot; start close, then increase separation.</x:v>
      </x:c>
      <x:c r="C6" s="49" t="str">
        <x:v>Level cue, low contact, accelerate smoothly.</x:v>
      </x:c>
      <x:c r="D6" s="49" t="str">
        <x:v>Hitting harder instead of lower/cleaner.</x:v>
      </x:c>
      <x:c r="E6" s="49" t="str">
        <x:v>8" → 16" → 24"; then target draw distances.</x:v>
      </x:c>
      <x:c r="F6" s="49" t="str">
        <x:v>No — isolate spin first.</x:v>
      </x:c>
    </x:row>
    <x:row r="7">
      <x:c r="A7" s="49" t="str">
        <x:v>Follow</x:v>
      </x:c>
      <x:c r="B7" s="49" t="str">
        <x:v>Straight shot with planned CB finish distance.</x:v>
      </x:c>
      <x:c r="C7" s="49" t="str">
        <x:v>High-center contact; control speed.</x:v>
      </x:c>
      <x:c r="D7" s="49" t="str">
        <x:v>Rolling too hard and losing distance control.</x:v>
      </x:c>
      <x:c r="E7" s="49" t="str">
        <x:v>6" → 12" → 24" follow targets.</x:v>
      </x:c>
      <x:c r="F7" s="49" t="str">
        <x:v>No.</x:v>
      </x:c>
    </x:row>
    <x:row r="8">
      <x:c r="A8" s="49" t="str">
        <x:v>Cut-shot block</x:v>
      </x:c>
      <x:c r="B8" s="49" t="str">
        <x:v>Fixed OB and pocket; create repeatable 30°/45°/60° cuts.</x:v>
      </x:c>
      <x:c r="C8" s="49" t="str">
        <x:v>See contact line first; then deliver straight.</x:v>
      </x:c>
      <x:c r="D8" s="49" t="str">
        <x:v>Changing both angle and speed every attempt.</x:v>
      </x:c>
      <x:c r="E8" s="49" t="str">
        <x:v>Master both directions.</x:v>
      </x:c>
      <x:c r="F8" s="49" t="str">
        <x:v>Occasionally, after normal-pocket sets.</x:v>
      </x:c>
    </x:row>
    <x:row r="9">
      <x:c r="A9" s="49" t="str">
        <x:v>3-ball pattern</x:v>
      </x:c>
      <x:c r="B9" s="49" t="str">
        <x:v>Three makeable balls with space between them.</x:v>
      </x:c>
      <x:c r="C9" s="49" t="str">
        <x:v>Plan all three CB zones before first shot.</x:v>
      </x:c>
      <x:c r="D9" s="49" t="str">
        <x:v>Playing only one shot ahead.</x:v>
      </x:c>
      <x:c r="E9" s="49" t="str">
        <x:v>Start easy; gradually create more traffic.</x:v>
      </x:c>
      <x:c r="F9" s="49" t="str">
        <x:v>No.</x:v>
      </x:c>
    </x:row>
    <x:row r="10">
      <x:c r="A10" s="49" t="str">
        <x:v>5-ball clearance</x:v>
      </x:c>
      <x:c r="B10" s="49" t="str">
        <x:v>Five open balls; ball-in-hand to begin.</x:v>
      </x:c>
      <x:c r="C10" s="49" t="str">
        <x:v>Choose easiest route and minimize CB travel.</x:v>
      </x:c>
      <x:c r="D10" s="49" t="str">
        <x:v>Overusing side spin or forcing difficult shape.</x:v>
      </x:c>
      <x:c r="E10" s="49" t="str">
        <x:v>Track success/5 using repeatable layouts.</x:v>
      </x:c>
      <x:c r="F10" s="49" t="str">
        <x:v>No — this is APA-style.</x:v>
      </x:c>
    </x:row>
  </x:sheetData>
  <x:mergeCells>
    <x:mergeCell ref="A1:F1"/>
  </x:mergeCells>
  <x:pageMargins left="0.7" right="0.7" top="0.75" bottom="0.75" header="0.3" footer="0.3"/>
</x:worksheet>
</file>